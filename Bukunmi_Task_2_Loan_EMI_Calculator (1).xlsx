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 EMI calculation" sheetId="1" r:id="rId4"/>
    <sheet state="visible" name="Scenario Testing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5GETtt8zpo23h4vfTLU49ke+iQGl677yos20wqNnrxo="/>
    </ext>
  </extLst>
</workbook>
</file>

<file path=xl/sharedStrings.xml><?xml version="1.0" encoding="utf-8"?>
<sst xmlns="http://schemas.openxmlformats.org/spreadsheetml/2006/main" count="26" uniqueCount="25">
  <si>
    <t>Scenario</t>
  </si>
  <si>
    <t>LOAN EMI CALCULATOR</t>
  </si>
  <si>
    <t>Loan Amount (₦)</t>
  </si>
  <si>
    <t>Interest Rate (%)</t>
  </si>
  <si>
    <t>Tenure (Years)</t>
  </si>
  <si>
    <t>Loan Details</t>
  </si>
  <si>
    <t>Monthly EMI (₦)</t>
  </si>
  <si>
    <t>Total Payment (₦)</t>
  </si>
  <si>
    <t>Total Interest (₦)</t>
  </si>
  <si>
    <t>Scenario 1</t>
  </si>
  <si>
    <t>Annual Interest Rate (%)</t>
  </si>
  <si>
    <t>Loan Tenure (Years)</t>
  </si>
  <si>
    <t>Loan Summary</t>
  </si>
  <si>
    <t>Monthly Interest Rate</t>
  </si>
  <si>
    <t>Loan Tenure (Months)</t>
  </si>
  <si>
    <t>Monthly EMI</t>
  </si>
  <si>
    <t>Scenario 2</t>
  </si>
  <si>
    <t>Total Payment</t>
  </si>
  <si>
    <t>Scenario 3</t>
  </si>
  <si>
    <t>Total Interest Payable</t>
  </si>
  <si>
    <t>Affordability Check</t>
  </si>
  <si>
    <t>Monthly Net Income (₦)</t>
  </si>
  <si>
    <t>EMI as % of Income</t>
  </si>
  <si>
    <t>Affordability Status</t>
  </si>
  <si>
    <t>Recommendation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</si>
</sst>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$₦]#,##0.00"/>
    <numFmt numFmtId="166" formatCode="0.000"/>
  </numFmts>
  <fonts count="4">
    <font>
      <sz val="10.0"/>
      <color rgb="FF000000"/>
      <name val="Arial"/>
      <scheme val="minor"/>
    </font>
    <font>
      <color theme="1"/>
      <name val="Arial"/>
    </font>
    <font>
      <b/>
      <sz val="14.0"/>
      <color rgb="FF1155CC"/>
      <name val="Arial"/>
    </font>
    <font>
      <b/>
      <sz val="12.0"/>
      <color rgb="FF6D9EEB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3" numFmtId="0" xfId="0" applyAlignment="1" applyFont="1">
      <alignment readingOrder="0"/>
    </xf>
    <xf borderId="0" fillId="0" fontId="1" numFmtId="10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6" width="12.63"/>
  </cols>
  <sheetData>
    <row r="1" ht="15.75" customHeight="1">
      <c r="A1" s="2" t="s">
        <v>1</v>
      </c>
    </row>
    <row r="2" ht="15.75" customHeight="1"/>
    <row r="3" ht="15.75" customHeight="1">
      <c r="A3" s="1" t="s">
        <v>5</v>
      </c>
    </row>
    <row r="4" ht="15.75" customHeight="1">
      <c r="A4" s="1" t="s">
        <v>2</v>
      </c>
      <c r="B4" s="4">
        <v>2500000.0</v>
      </c>
    </row>
    <row r="5" ht="15.75" customHeight="1">
      <c r="A5" s="1" t="s">
        <v>10</v>
      </c>
      <c r="B5" s="1">
        <v>18.0</v>
      </c>
    </row>
    <row r="6" ht="15.75" customHeight="1">
      <c r="A6" s="1" t="s">
        <v>11</v>
      </c>
      <c r="B6" s="1">
        <v>3.0</v>
      </c>
    </row>
    <row r="7" ht="15.75" customHeight="1"/>
    <row r="8" ht="15.75" customHeight="1">
      <c r="A8" s="5" t="s">
        <v>12</v>
      </c>
      <c r="D8" s="6"/>
    </row>
    <row r="9" ht="15.75" customHeight="1">
      <c r="A9" s="1" t="s">
        <v>13</v>
      </c>
      <c r="B9" s="7">
        <f>B5/12/100</f>
        <v>0.015</v>
      </c>
    </row>
    <row r="10" ht="15.75" customHeight="1">
      <c r="A10" s="1" t="s">
        <v>14</v>
      </c>
      <c r="B10" s="1">
        <f>B6*12</f>
        <v>36</v>
      </c>
    </row>
    <row r="11" ht="15.75" customHeight="1">
      <c r="A11" s="1" t="s">
        <v>15</v>
      </c>
      <c r="B11" s="4">
        <f>-PMT(B9,B10,B4)</f>
        <v>90380.98884</v>
      </c>
    </row>
    <row r="12" ht="15.75" customHeight="1">
      <c r="A12" s="1" t="s">
        <v>17</v>
      </c>
      <c r="B12" s="4">
        <f>B11*B10</f>
        <v>3253715.598</v>
      </c>
    </row>
    <row r="13" ht="15.75" customHeight="1">
      <c r="A13" s="1" t="s">
        <v>19</v>
      </c>
      <c r="B13" s="4">
        <f>B12-B4</f>
        <v>753715.5982</v>
      </c>
    </row>
    <row r="14" ht="15.75" customHeight="1"/>
    <row r="15" ht="15.75" customHeight="1">
      <c r="A15" s="5" t="s">
        <v>20</v>
      </c>
    </row>
    <row r="16" ht="15.75" customHeight="1">
      <c r="A16" s="1" t="s">
        <v>21</v>
      </c>
      <c r="B16" s="4">
        <v>300000.0</v>
      </c>
    </row>
    <row r="17" ht="15.75" customHeight="1">
      <c r="A17" s="1" t="s">
        <v>22</v>
      </c>
      <c r="B17" s="6">
        <f>B11/B16</f>
        <v>0.3012699628</v>
      </c>
    </row>
    <row r="18" ht="15.75" customHeight="1">
      <c r="A18" s="1" t="s">
        <v>23</v>
      </c>
      <c r="B18" s="1" t="str">
        <f>IF(B17&lt;=30%,"Comfortable",IF(B17&lt;=40%,"Caution: High EMI","Not Recommended"))</f>
        <v>Caution: High EMI</v>
      </c>
    </row>
    <row r="19" ht="15.75" customHeight="1">
      <c r="A19" s="1" t="s">
        <v>24</v>
      </c>
      <c r="B19" s="1" t="str">
        <f>IF(B17&lt;=30%,"This loan fits within your monthly budget.",IF(B17&lt;=40%,"Consider a longer tenure or smaller loan amount.","Reduce the loan amount or extend the tenure before borrowing."))</f>
        <v>Consider a longer tenure or smaller loan amount.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3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</row>
    <row r="2" ht="15.75" customHeight="1">
      <c r="A2" s="1" t="s">
        <v>9</v>
      </c>
      <c r="B2" s="3">
        <v>1000000.0</v>
      </c>
      <c r="C2" s="1">
        <v>15.0</v>
      </c>
      <c r="D2" s="1">
        <v>2.0</v>
      </c>
      <c r="E2" s="4">
        <f t="shared" ref="E2:E4" si="1">-PMT(C2/12/100,D2*12,B2)</f>
        <v>48486.64805</v>
      </c>
      <c r="F2" s="4">
        <f t="shared" ref="F2:F4" si="2">E2*D2*12</f>
        <v>1163679.553</v>
      </c>
      <c r="G2" s="4">
        <f t="shared" ref="G2:G4" si="3">F2-B2</f>
        <v>163679.5531</v>
      </c>
    </row>
    <row r="3" ht="15.75" customHeight="1">
      <c r="A3" s="1" t="s">
        <v>16</v>
      </c>
      <c r="B3" s="3">
        <v>2500000.0</v>
      </c>
      <c r="C3" s="1">
        <v>18.0</v>
      </c>
      <c r="D3" s="1">
        <v>3.0</v>
      </c>
      <c r="E3" s="4">
        <f t="shared" si="1"/>
        <v>90380.98884</v>
      </c>
      <c r="F3" s="4">
        <f t="shared" si="2"/>
        <v>3253715.598</v>
      </c>
      <c r="G3" s="4">
        <f t="shared" si="3"/>
        <v>753715.5982</v>
      </c>
    </row>
    <row r="4" ht="15.75" customHeight="1">
      <c r="A4" s="1" t="s">
        <v>18</v>
      </c>
      <c r="B4" s="3">
        <v>5000000.0</v>
      </c>
      <c r="C4" s="1">
        <v>20.0</v>
      </c>
      <c r="D4" s="1">
        <v>5.0</v>
      </c>
      <c r="E4" s="4">
        <f t="shared" si="1"/>
        <v>132469.4186</v>
      </c>
      <c r="F4" s="4">
        <f t="shared" si="2"/>
        <v>7948165.114</v>
      </c>
      <c r="G4" s="4">
        <f t="shared" si="3"/>
        <v>2948165.114</v>
      </c>
    </row>
    <row r="5" ht="15.75" customHeight="1">
      <c r="B5" s="3"/>
      <c r="E5" s="4"/>
      <c r="F5" s="4"/>
      <c r="G5" s="4"/>
    </row>
    <row r="6" ht="15.75" customHeight="1">
      <c r="B6" s="3"/>
    </row>
    <row r="7" ht="15.75" customHeight="1">
      <c r="B7" s="3"/>
    </row>
    <row r="8" ht="15.75" customHeight="1">
      <c r="B8" s="3"/>
    </row>
    <row r="9" ht="15.75" customHeight="1">
      <c r="B9" s="3"/>
    </row>
    <row r="10" ht="15.75" customHeight="1">
      <c r="B10" s="3"/>
    </row>
    <row r="11" ht="15.75" customHeight="1">
      <c r="B11" s="3"/>
    </row>
    <row r="12" ht="15.75" customHeight="1">
      <c r="B12" s="3"/>
    </row>
    <row r="13" ht="15.75" customHeight="1">
      <c r="B13" s="3"/>
    </row>
    <row r="14" ht="15.75" customHeight="1">
      <c r="B14" s="3"/>
    </row>
    <row r="15" ht="15.75" customHeight="1">
      <c r="B15" s="3"/>
    </row>
    <row r="16" ht="15.75" customHeight="1">
      <c r="B16" s="3"/>
    </row>
    <row r="17" ht="15.75" customHeight="1">
      <c r="B17" s="3"/>
    </row>
    <row r="18" ht="15.75" customHeight="1">
      <c r="B18" s="3"/>
    </row>
    <row r="19" ht="15.75" customHeight="1">
      <c r="B19" s="3"/>
    </row>
    <row r="20" ht="15.75" customHeight="1">
      <c r="B20" s="3"/>
    </row>
    <row r="21" ht="15.75" customHeight="1">
      <c r="B21" s="3"/>
    </row>
    <row r="22" ht="15.75" customHeight="1">
      <c r="B22" s="3"/>
    </row>
    <row r="23" ht="15.75" customHeight="1">
      <c r="B23" s="3"/>
    </row>
    <row r="24" ht="15.75" customHeight="1">
      <c r="B24" s="3"/>
    </row>
    <row r="25" ht="15.75" customHeight="1">
      <c r="B25" s="3"/>
    </row>
    <row r="26" ht="15.75" customHeight="1">
      <c r="B26" s="3"/>
    </row>
    <row r="27" ht="15.75" customHeight="1">
      <c r="B27" s="3"/>
    </row>
    <row r="28" ht="15.75" customHeight="1">
      <c r="B28" s="3"/>
    </row>
    <row r="29" ht="15.75" customHeight="1">
      <c r="B29" s="3"/>
    </row>
    <row r="30" ht="15.75" customHeight="1">
      <c r="B30" s="3"/>
    </row>
    <row r="31" ht="15.75" customHeight="1">
      <c r="B31" s="3"/>
    </row>
    <row r="32" ht="15.75" customHeight="1">
      <c r="B32" s="3"/>
    </row>
    <row r="33" ht="15.75" customHeight="1">
      <c r="B33" s="3"/>
    </row>
    <row r="34" ht="15.75" customHeight="1">
      <c r="B34" s="3"/>
    </row>
    <row r="35" ht="15.75" customHeight="1">
      <c r="B35" s="3"/>
    </row>
    <row r="36" ht="15.75" customHeight="1">
      <c r="B36" s="3"/>
    </row>
    <row r="37" ht="15.75" customHeight="1">
      <c r="B37" s="3"/>
    </row>
    <row r="38" ht="15.75" customHeight="1">
      <c r="B38" s="3"/>
    </row>
    <row r="39" ht="15.75" customHeight="1">
      <c r="B39" s="3"/>
    </row>
    <row r="40" ht="15.75" customHeight="1">
      <c r="B40" s="3"/>
    </row>
    <row r="41" ht="15.75" customHeight="1">
      <c r="B41" s="3"/>
    </row>
    <row r="42" ht="15.75" customHeight="1">
      <c r="B42" s="3"/>
    </row>
    <row r="43" ht="15.75" customHeight="1">
      <c r="B43" s="3"/>
    </row>
    <row r="44" ht="15.75" customHeight="1">
      <c r="B44" s="3"/>
    </row>
    <row r="45" ht="15.75" customHeight="1">
      <c r="B45" s="3"/>
    </row>
    <row r="46" ht="15.75" customHeight="1">
      <c r="B46" s="3"/>
    </row>
    <row r="47" ht="15.75" customHeight="1">
      <c r="B47" s="3"/>
    </row>
    <row r="48" ht="15.75" customHeight="1">
      <c r="B48" s="3"/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