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<sst xmlns="http://schemas.openxmlformats.org/spreadsheetml/2006/main" count="27" uniqueCount="26">
  <si>
    <t>STOCK MARKET ANALYSIS REPORT</t>
  </si>
  <si>
    <t>Company</t>
  </si>
  <si>
    <t>Ticker/Code</t>
  </si>
  <si>
    <t>Sector</t>
  </si>
  <si>
    <t>Starting Price (₦)</t>
  </si>
  <si>
    <t>Current Price (₦)</t>
  </si>
  <si>
    <t>Price Change (₦)</t>
  </si>
  <si>
    <t>Percentage Change</t>
  </si>
  <si>
    <t>Dangote Cement</t>
  </si>
  <si>
    <t>DANGCEM</t>
  </si>
  <si>
    <t>Industrial Goods</t>
  </si>
  <si>
    <t>GTCO</t>
  </si>
  <si>
    <t>Banking</t>
  </si>
  <si>
    <t>MTN Nigeria</t>
  </si>
  <si>
    <t>MTNN</t>
  </si>
  <si>
    <t>Telecommunications</t>
  </si>
  <si>
    <t>ANALYSIS SUMMARY</t>
  </si>
  <si>
    <t>Best Performer</t>
  </si>
  <si>
    <t>Weakest Performer</t>
  </si>
  <si>
    <t>Average Percentage Change</t>
  </si>
  <si>
    <t>INVESTMENT INSIGHTS</t>
  </si>
  <si>
    <t>MTN Nigeria recorded the strongest performance with a 20.00% increase, making it the best-performing stock in this analysis.</t>
  </si>
  <si>
    <t>GTCO gained 12.73%, showing moderate positive performance during the selected period.</t>
  </si>
  <si>
    <t>Dangote Cement recorded the lowest gain at 6.67%, making it the weakest performer among the selected companies.</t>
  </si>
  <si>
    <t>Overall, all three stocks increased in value, while the average percentage change was 13.13%. Based on the available price movement, MTN Nigeria showed the strongest short-term performance.</t>
  </si>
  <si>
    <t>Note: Prices used are illustrative figures for spreadsheet analysis practice and are not live market prices.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</si>
</sst>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rgb="FF38761D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11" displayName="Table1" name="Table1" id="1">
  <tableColumns count="7">
    <tableColumn name="Company" id="1"/>
    <tableColumn name="Ticker/Code" id="2"/>
    <tableColumn name="Sector" id="3"/>
    <tableColumn name="Starting Price (₦)" id="4"/>
    <tableColumn name="Current Price (₦)" id="5"/>
    <tableColumn name="Price Change (₦)" id="6"/>
    <tableColumn name="Percentage Chang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3.13"/>
    <col customWidth="1" min="2" max="2" width="17.88"/>
    <col customWidth="1" min="3" max="3" width="17.75"/>
    <col customWidth="1" min="4" max="4" width="18.38"/>
    <col customWidth="1" min="5" max="5" width="18.0"/>
    <col customWidth="1" min="6" max="6" width="18.25"/>
    <col customWidth="1" min="7" max="7" width="23.25"/>
  </cols>
  <sheetData>
    <row r="1">
      <c r="A1" s="1" t="s">
        <v>0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.5" customHeight="1">
      <c r="A4" s="3" t="s">
        <v>8</v>
      </c>
      <c r="B4" s="3" t="s">
        <v>9</v>
      </c>
      <c r="C4" s="3" t="s">
        <v>10</v>
      </c>
      <c r="D4" s="3">
        <v>1500.0</v>
      </c>
      <c r="E4" s="3">
        <v>1600.0</v>
      </c>
      <c r="F4" s="4">
        <f t="shared" ref="F4:F6" si="1">E4-D4</f>
        <v>100</v>
      </c>
      <c r="G4" s="5">
        <f t="shared" ref="G4:G6" si="2">F4/D4</f>
        <v>0.06666666667</v>
      </c>
    </row>
    <row r="5" ht="22.5" customHeight="1">
      <c r="A5" s="3" t="s">
        <v>11</v>
      </c>
      <c r="B5" s="3" t="s">
        <v>11</v>
      </c>
      <c r="C5" s="3" t="s">
        <v>12</v>
      </c>
      <c r="D5" s="3">
        <v>55.0</v>
      </c>
      <c r="E5" s="3">
        <v>62.0</v>
      </c>
      <c r="F5" s="4">
        <f t="shared" si="1"/>
        <v>7</v>
      </c>
      <c r="G5" s="5">
        <f t="shared" si="2"/>
        <v>0.1272727273</v>
      </c>
    </row>
    <row r="6" ht="22.5" customHeight="1">
      <c r="A6" s="3" t="s">
        <v>13</v>
      </c>
      <c r="B6" s="3" t="s">
        <v>14</v>
      </c>
      <c r="C6" s="3" t="s">
        <v>15</v>
      </c>
      <c r="D6" s="3">
        <v>250.0</v>
      </c>
      <c r="E6" s="3">
        <v>300.0</v>
      </c>
      <c r="F6" s="4">
        <f t="shared" si="1"/>
        <v>50</v>
      </c>
      <c r="G6" s="5">
        <f t="shared" si="2"/>
        <v>0.2</v>
      </c>
    </row>
    <row r="7" ht="22.5" customHeight="1">
      <c r="B7" s="6"/>
      <c r="G7" s="5"/>
    </row>
    <row r="8" ht="22.5" customHeight="1">
      <c r="A8" s="3" t="s">
        <v>16</v>
      </c>
      <c r="B8" s="6"/>
      <c r="G8" s="5"/>
    </row>
    <row r="9" ht="22.5" customHeight="1">
      <c r="A9" s="3" t="s">
        <v>17</v>
      </c>
      <c r="B9" s="6" t="str">
        <f t="array" ref="B9">INDEX(A4:A6,MATCH(MAX(G4:G6),G4:G6,0))</f>
        <v>MTN Nigeria</v>
      </c>
      <c r="G9" s="5"/>
    </row>
    <row r="10" ht="22.5" customHeight="1">
      <c r="A10" s="3" t="s">
        <v>18</v>
      </c>
      <c r="B10" s="6" t="str">
        <f t="array" ref="B10">INDEX(A4:A6,MATCH(MIN(G4:G6),G4:G6,0))</f>
        <v>Dangote Cement</v>
      </c>
      <c r="G10" s="5"/>
    </row>
    <row r="11" ht="22.5" customHeight="1">
      <c r="A11" s="3" t="s">
        <v>19</v>
      </c>
      <c r="B11" s="6">
        <f>AVERAGE(G4:G6)</f>
        <v>0.1313131313</v>
      </c>
      <c r="G11" s="5"/>
    </row>
    <row r="13">
      <c r="A13" s="7" t="s">
        <v>20</v>
      </c>
    </row>
    <row r="14">
      <c r="A14" s="8"/>
      <c r="D14" s="8"/>
      <c r="E14" s="8"/>
      <c r="F14" s="8"/>
      <c r="G14" s="8"/>
    </row>
    <row r="15">
      <c r="A15" s="9" t="s">
        <v>21</v>
      </c>
      <c r="D15" s="8"/>
      <c r="E15" s="8"/>
      <c r="F15" s="8"/>
      <c r="G15" s="8"/>
    </row>
    <row r="16">
      <c r="A16" s="8"/>
      <c r="D16" s="8"/>
      <c r="E16" s="8"/>
      <c r="F16" s="8"/>
      <c r="G16" s="8"/>
    </row>
    <row r="17">
      <c r="A17" s="9" t="s">
        <v>22</v>
      </c>
      <c r="D17" s="8"/>
      <c r="E17" s="8"/>
      <c r="F17" s="8"/>
      <c r="G17" s="8"/>
    </row>
    <row r="18">
      <c r="A18" s="8"/>
      <c r="D18" s="8"/>
      <c r="E18" s="8"/>
      <c r="F18" s="8"/>
      <c r="G18" s="8"/>
    </row>
    <row r="19">
      <c r="A19" s="9" t="s">
        <v>23</v>
      </c>
      <c r="D19" s="8"/>
      <c r="E19" s="8"/>
      <c r="F19" s="8"/>
      <c r="G19" s="8"/>
    </row>
    <row r="20">
      <c r="A20" s="8"/>
      <c r="D20" s="8"/>
      <c r="E20" s="8"/>
      <c r="F20" s="8"/>
      <c r="G20" s="8"/>
    </row>
    <row r="21">
      <c r="A21" s="9" t="s">
        <v>24</v>
      </c>
      <c r="D21" s="8"/>
      <c r="E21" s="8"/>
      <c r="F21" s="8"/>
      <c r="G21" s="8"/>
    </row>
    <row r="24">
      <c r="A24" s="10" t="s">
        <v>25</v>
      </c>
    </row>
  </sheetData>
  <mergeCells count="9">
    <mergeCell ref="A20:C20"/>
    <mergeCell ref="A21:C21"/>
    <mergeCell ref="A13:C13"/>
    <mergeCell ref="A14:C14"/>
    <mergeCell ref="A15:C15"/>
    <mergeCell ref="A16:C16"/>
    <mergeCell ref="A17:C17"/>
    <mergeCell ref="A18:C18"/>
    <mergeCell ref="A19:C19"/>
  </mergeCells>
  <dataValidations>
    <dataValidation type="custom" allowBlank="1" showDropDown="1" sqref="B4:B11 G4:G11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